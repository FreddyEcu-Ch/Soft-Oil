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us\PycharmProjects\Soft-Oil\poes\controller\"/>
    </mc:Choice>
  </mc:AlternateContent>
  <xr:revisionPtr revIDLastSave="0" documentId="13_ncr:1_{29E77A44-FE7D-4158-A8A9-679C7C713239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t_result">Summary!$B$10</definedName>
    <definedName name="det_values">Summary!$B$3:$B$7</definedName>
    <definedName name="df_poes">Summary!$A$2:$H$7</definedName>
    <definedName name="poes_array">Results!$A$2</definedName>
    <definedName name="poes_prob">Summary!$H$10</definedName>
    <definedName name="realizations">Summary!$E$10</definedName>
    <definedName name="seed">Summary!$E$11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<sst xmlns="http://schemas.openxmlformats.org/spreadsheetml/2006/main" count="59" uniqueCount="46">
  <si>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</si>
  <si>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</si>
  <si>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</si>
  <si>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</si>
  <si>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</si>
  <si>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</si>
  <si>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</si>
  <si>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</si>
  <si>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</si>
  <si>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</si>
  <si>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</si>
  <si>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</si>
  <si>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</si>
  <si>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</si>
  <si>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</si>
  <si>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</si>
  <si>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Values</t>
  </si>
  <si>
    <t>Distribution</t>
  </si>
  <si>
    <t>Loc</t>
  </si>
  <si>
    <t>Scale</t>
  </si>
  <si>
    <t>C</t>
  </si>
  <si>
    <t>Lim Min</t>
  </si>
  <si>
    <t>Lim max</t>
  </si>
  <si>
    <t>Area (Acres)</t>
  </si>
  <si>
    <t>h (ft)</t>
  </si>
  <si>
    <t>Poro</t>
  </si>
  <si>
    <t>Swi</t>
  </si>
  <si>
    <t>Bo (rb / stb)</t>
  </si>
  <si>
    <t>Deterministic STOIIP</t>
  </si>
  <si>
    <t>Realizations</t>
  </si>
  <si>
    <t>Seed</t>
  </si>
  <si>
    <t>STOIIP Std</t>
  </si>
  <si>
    <t>STOIIP Mean</t>
  </si>
  <si>
    <t>STOIIP P90</t>
  </si>
  <si>
    <t>STOIIP P50</t>
  </si>
  <si>
    <t>STOIIP P10</t>
  </si>
  <si>
    <t>STOOIP CALCULATION</t>
  </si>
  <si>
    <t>STB</t>
  </si>
  <si>
    <t>Normal</t>
  </si>
  <si>
    <t>Lognormal</t>
  </si>
  <si>
    <t>Exponential</t>
  </si>
  <si>
    <t>Triangular</t>
  </si>
  <si>
    <t>Uniform</t>
  </si>
  <si>
    <t>Area</t>
  </si>
  <si>
    <t>Boi</t>
  </si>
  <si>
    <t>STOOI_Prob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</si>
</sst>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D961DA69-3DA4-42F4-B271-D5C09219E3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"/>
  <sheetViews>
    <sheetView showGridLines="0" tabSelected="1" workbookViewId="0">
      <selection activeCell="K7" sqref="K7"/>
    </sheetView>
  </sheetViews>
  <sheetFormatPr defaultColWidth="11" defaultRowHeight="15.6" x14ac:dyDescent="0.3"/>
  <cols>
    <col min="1" max="1" width="14" customWidth="1"/>
    <col min="2" max="2" width="11.19921875" customWidth="1"/>
    <col min="3" max="3" width="11.69921875" customWidth="1"/>
    <col min="7" max="7" width="11.59765625" bestFit="1" customWidth="1"/>
    <col min="12" max="12" width="0" hidden="1" customWidth="1"/>
  </cols>
  <sheetData>
    <row r="1" spans="1:12" ht="16.2" thickBot="1" x14ac:dyDescent="0.35">
      <c r="A1" s="9" t="s">
        <v>36</v>
      </c>
      <c r="B1" s="9"/>
      <c r="C1" s="9"/>
      <c r="D1" s="9"/>
      <c r="E1" s="9"/>
      <c r="F1" s="9"/>
      <c r="G1" s="9"/>
      <c r="H1" s="9"/>
    </row>
    <row r="2" spans="1:12" ht="16.2" thickBot="1" x14ac:dyDescent="0.35">
      <c r="A2" s="3" t="s">
        <v>15</v>
      </c>
      <c r="B2" s="3" t="s">
        <v>16</v>
      </c>
      <c r="C2" s="3" t="s">
        <v>17</v>
      </c>
      <c r="D2" s="3" t="s">
        <v>18</v>
      </c>
      <c r="E2" s="3" t="s">
        <v>19</v>
      </c>
      <c r="F2" s="3" t="s">
        <v>20</v>
      </c>
      <c r="G2" s="3" t="s">
        <v>21</v>
      </c>
      <c r="H2" s="3" t="s">
        <v>22</v>
      </c>
      <c r="L2" t="s">
        <v>38</v>
      </c>
    </row>
    <row r="3" spans="1:12" ht="16.2" thickBot="1" x14ac:dyDescent="0.35">
      <c r="A3" s="4" t="s">
        <v>23</v>
      </c>
      <c r="B3" s="4">
        <v>240</v>
      </c>
      <c r="C3" s="4" t="s">
        <v>41</v>
      </c>
      <c r="D3" s="4">
        <v>400</v>
      </c>
      <c r="E3" s="4">
        <v>600</v>
      </c>
      <c r="F3" s="4">
        <v>0.3</v>
      </c>
      <c r="G3" s="4">
        <v>50</v>
      </c>
      <c r="H3" s="4"/>
      <c r="L3" t="s">
        <v>39</v>
      </c>
    </row>
    <row r="4" spans="1:12" ht="16.2" thickBot="1" x14ac:dyDescent="0.35">
      <c r="A4" s="4" t="s">
        <v>24</v>
      </c>
      <c r="B4" s="4">
        <v>15</v>
      </c>
      <c r="C4" s="4" t="s">
        <v>41</v>
      </c>
      <c r="D4" s="4">
        <v>0</v>
      </c>
      <c r="E4" s="4">
        <v>90</v>
      </c>
      <c r="F4" s="4">
        <v>0.3</v>
      </c>
      <c r="G4" s="4">
        <v>0</v>
      </c>
      <c r="H4" s="4">
        <v>180</v>
      </c>
      <c r="L4" t="s">
        <v>40</v>
      </c>
    </row>
    <row r="5" spans="1:12" ht="16.2" thickBot="1" x14ac:dyDescent="0.35">
      <c r="A5" s="4" t="s">
        <v>25</v>
      </c>
      <c r="B5" s="4">
        <v>0.4</v>
      </c>
      <c r="C5" s="4" t="s">
        <v>39</v>
      </c>
      <c r="D5" s="4">
        <v>0</v>
      </c>
      <c r="E5" s="4">
        <v>0.2</v>
      </c>
      <c r="F5" s="4">
        <v>0.8</v>
      </c>
      <c r="G5" s="4">
        <v>0</v>
      </c>
      <c r="H5" s="4">
        <v>0.4</v>
      </c>
      <c r="L5" t="s">
        <v>41</v>
      </c>
    </row>
    <row r="6" spans="1:12" ht="16.2" thickBot="1" x14ac:dyDescent="0.35">
      <c r="A6" s="4" t="s">
        <v>26</v>
      </c>
      <c r="B6" s="4">
        <v>0.65</v>
      </c>
      <c r="C6" s="4" t="s">
        <v>38</v>
      </c>
      <c r="D6" s="4">
        <v>0.4</v>
      </c>
      <c r="E6" s="4">
        <v>0.2</v>
      </c>
      <c r="F6" s="4"/>
      <c r="G6" s="4">
        <v>0</v>
      </c>
      <c r="H6" s="4">
        <v>1</v>
      </c>
      <c r="L6" t="s">
        <v>42</v>
      </c>
    </row>
    <row r="7" spans="1:12" ht="16.2" thickBot="1" x14ac:dyDescent="0.35">
      <c r="A7" s="4" t="s">
        <v>27</v>
      </c>
      <c r="B7" s="4">
        <v>1.3</v>
      </c>
      <c r="C7" s="4" t="s">
        <v>40</v>
      </c>
      <c r="D7" s="4">
        <v>1</v>
      </c>
      <c r="E7" s="4">
        <v>0.2</v>
      </c>
      <c r="F7" s="4"/>
      <c r="G7" s="4">
        <v>1</v>
      </c>
      <c r="H7" s="4">
        <v>2</v>
      </c>
    </row>
    <row r="9" spans="1:12" ht="16.2" thickBot="1" x14ac:dyDescent="0.35"/>
    <row r="10" spans="1:12" ht="31.8" thickBot="1" x14ac:dyDescent="0.35">
      <c r="A10" s="7" t="s">
        <v>28</v>
      </c>
      <c r="B10" s="5"/>
      <c r="C10" s="6" t="s">
        <v>37</v>
      </c>
      <c r="D10" s="8" t="s">
        <v>29</v>
      </c>
      <c r="E10" s="5">
        <v>1000</v>
      </c>
      <c r="G10" s="8" t="s">
        <v>32</v>
      </c>
      <c r="H10" s="5"/>
      <c r="I10" s="6" t="s">
        <v>37</v>
      </c>
    </row>
    <row r="11" spans="1:12" ht="16.2" thickBot="1" x14ac:dyDescent="0.35">
      <c r="D11" s="8" t="s">
        <v>30</v>
      </c>
      <c r="E11" s="5">
        <v>32</v>
      </c>
      <c r="G11" s="8" t="s">
        <v>31</v>
      </c>
      <c r="H11" s="5"/>
      <c r="I11" s="6" t="s">
        <v>37</v>
      </c>
    </row>
    <row r="12" spans="1:12" ht="16.2" thickBot="1" x14ac:dyDescent="0.35">
      <c r="G12" s="8" t="s">
        <v>33</v>
      </c>
      <c r="H12" s="5"/>
      <c r="I12" s="6" t="s">
        <v>37</v>
      </c>
    </row>
    <row r="13" spans="1:12" ht="16.2" thickBot="1" x14ac:dyDescent="0.35">
      <c r="G13" s="8" t="s">
        <v>34</v>
      </c>
      <c r="H13" s="5"/>
      <c r="I13" s="6" t="s">
        <v>37</v>
      </c>
    </row>
    <row r="14" spans="1:12" ht="16.2" thickBot="1" x14ac:dyDescent="0.35">
      <c r="G14" s="8" t="s">
        <v>35</v>
      </c>
      <c r="H14" s="5"/>
      <c r="I14" s="6" t="s">
        <v>37</v>
      </c>
    </row>
  </sheetData>
  <mergeCells count="1">
    <mergeCell ref="A1:H1"/>
  </mergeCells>
  <dataValidations count="1">
    <dataValidation type="list" allowBlank="1" showInputMessage="1" showErrorMessage="1" sqref="C3:C7" xr:uid="{9717C02C-1D16-4B60-939D-7FAF153012C2}">
      <formula1>$L$2:$L$6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4FDA4-41D4-46A8-8622-DCB54FDF73DB}">
  <dimension ref="A1:F1"/>
  <sheetViews>
    <sheetView workbookViewId="0"/>
  </sheetViews>
  <sheetFormatPr defaultRowHeight="15.6" x14ac:dyDescent="0.3"/>
  <cols>
    <col min="2" max="2" width="10.296875" customWidth="1"/>
    <col min="5" max="5" width="10.59765625" customWidth="1"/>
    <col min="6" max="6" width="15.09765625" customWidth="1"/>
  </cols>
  <sheetData>
    <row r="1" spans="1:6" x14ac:dyDescent="0.3">
      <c r="A1" s="10" t="s">
        <v>43</v>
      </c>
      <c r="B1" s="10" t="s">
        <v>24</v>
      </c>
      <c r="C1" s="10" t="s">
        <v>25</v>
      </c>
      <c r="D1" s="10" t="s">
        <v>26</v>
      </c>
      <c r="E1" s="10" t="s">
        <v>44</v>
      </c>
      <c r="F1" s="10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det_result</vt:lpstr>
      <vt:lpstr>det_values</vt:lpstr>
      <vt:lpstr>df_poes</vt:lpstr>
      <vt:lpstr>poes_array</vt:lpstr>
      <vt:lpstr>poes_prob</vt:lpstr>
      <vt:lpstr>realizations</vt:lpstr>
      <vt:lpstr>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Paul Carrion Maldonado</cp:lastModifiedBy>
  <dcterms:created xsi:type="dcterms:W3CDTF">2015-01-25T11:31:25Z</dcterms:created>
  <dcterms:modified xsi:type="dcterms:W3CDTF">2025-06-11T21:16:14Z</dcterms:modified>
</cp:coreProperties>
</file>